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FF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Northwind Robotics synthetic model, $M unless stated. Synthetic test data.</t>
        </is>
      </c>
    </row>
    <row r="3">
      <c r="C3" t="inlineStr">
        <is>
          <t>FY25A</t>
        </is>
      </c>
      <c r="D3" t="inlineStr">
        <is>
          <t>FY26E</t>
        </is>
      </c>
      <c r="E3" t="inlineStr">
        <is>
          <t>FY27E</t>
        </is>
      </c>
    </row>
    <row r="4">
      <c r="B4" t="inlineStr">
        <is>
          <t>Revenue growth</t>
        </is>
      </c>
      <c r="D4" s="1" t="n">
        <v>0.04</v>
      </c>
      <c r="E4" s="1" t="n">
        <v>0.035</v>
      </c>
    </row>
    <row r="5">
      <c r="B5" t="inlineStr">
        <is>
          <t>Gross margin</t>
        </is>
      </c>
      <c r="D5" s="1" t="n">
        <v>0.41</v>
      </c>
      <c r="E5" s="1" t="n">
        <v>0.415</v>
      </c>
    </row>
    <row r="6">
      <c r="B6" t="inlineStr">
        <is>
          <t>SG&amp;A % of revenue</t>
        </is>
      </c>
      <c r="D6" s="1" t="n">
        <v>0.2</v>
      </c>
      <c r="E6" s="1" t="n">
        <v>0.2</v>
      </c>
    </row>
    <row r="7">
      <c r="B7" t="inlineStr">
        <is>
          <t>Tax rate</t>
        </is>
      </c>
      <c r="D7" s="1" t="n">
        <v>0.21</v>
      </c>
      <c r="E7" s="1" t="n">
        <v>0.21</v>
      </c>
    </row>
    <row r="8">
      <c r="B8" t="inlineStr">
        <is>
          <t>D&amp;A</t>
        </is>
      </c>
      <c r="D8" s="1" t="n">
        <v>40</v>
      </c>
      <c r="E8" s="1" t="n">
        <v>42</v>
      </c>
    </row>
    <row r="9">
      <c r="B9" t="inlineStr">
        <is>
          <t>Dividends</t>
        </is>
      </c>
      <c r="D9" s="1" t="n">
        <v>20</v>
      </c>
      <c r="E9" s="1" t="n">
        <v>21</v>
      </c>
    </row>
    <row r="10">
      <c r="B10" t="inlineStr">
        <is>
          <t>Capex</t>
        </is>
      </c>
      <c r="D10" s="1" t="n">
        <v>55</v>
      </c>
      <c r="E10" s="1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Income statement ($M)</t>
        </is>
      </c>
    </row>
    <row r="3">
      <c r="C3" t="inlineStr">
        <is>
          <t>FY25A</t>
        </is>
      </c>
      <c r="D3" t="inlineStr">
        <is>
          <t>FY26E</t>
        </is>
      </c>
      <c r="E3" t="inlineStr">
        <is>
          <t>FY27E</t>
        </is>
      </c>
    </row>
    <row r="5">
      <c r="B5" t="inlineStr">
        <is>
          <t>Revenue</t>
        </is>
      </c>
      <c r="C5" s="1" t="n">
        <v>1600</v>
      </c>
      <c r="D5" s="2">
        <f>C5*(1+Inputs!D4)</f>
        <v/>
      </c>
      <c r="E5" s="2">
        <f>D5*(1+Inputs!E4)</f>
        <v/>
      </c>
    </row>
    <row r="6">
      <c r="B6" t="inlineStr">
        <is>
          <t>COGS</t>
        </is>
      </c>
      <c r="C6" s="1" t="n">
        <v>944</v>
      </c>
      <c r="D6" s="2">
        <f>D5*(1-Inputs!D5)</f>
        <v/>
      </c>
      <c r="E6" s="2">
        <f>E5*Inputs!E5</f>
        <v/>
      </c>
    </row>
    <row r="7">
      <c r="B7" t="inlineStr">
        <is>
          <t>Gross profit</t>
        </is>
      </c>
      <c r="C7" s="2">
        <f>C5-C6</f>
        <v/>
      </c>
      <c r="D7" s="2">
        <f>D5-D6</f>
        <v/>
      </c>
      <c r="E7" s="2">
        <f>E5-E6</f>
        <v/>
      </c>
    </row>
    <row r="8">
      <c r="B8" t="inlineStr">
        <is>
          <t>SG&amp;A</t>
        </is>
      </c>
      <c r="C8" s="1" t="n">
        <v>320</v>
      </c>
      <c r="D8" s="2">
        <f>D5*Inputs!D6</f>
        <v/>
      </c>
      <c r="E8" s="2" t="n">
        <v>350</v>
      </c>
    </row>
    <row r="9">
      <c r="B9" t="inlineStr">
        <is>
          <t>EBITDA</t>
        </is>
      </c>
      <c r="C9" s="2">
        <f>C7-C8</f>
        <v/>
      </c>
      <c r="D9" s="2">
        <f>D7-D8</f>
        <v/>
      </c>
      <c r="E9" s="2">
        <f>E7-E8</f>
        <v/>
      </c>
    </row>
    <row r="10">
      <c r="B10" t="inlineStr">
        <is>
          <t>D&amp;A</t>
        </is>
      </c>
      <c r="C10" s="1" t="n">
        <v>38</v>
      </c>
      <c r="D10" s="2">
        <f>Inputs!D8</f>
        <v/>
      </c>
      <c r="E10" s="2">
        <f>Inputs!E8</f>
        <v/>
      </c>
    </row>
    <row r="11">
      <c r="B11" t="inlineStr">
        <is>
          <t>EBIT</t>
        </is>
      </c>
      <c r="C11" s="2">
        <f>C9-C10</f>
        <v/>
      </c>
      <c r="D11" s="2">
        <f>D9-D10</f>
        <v/>
      </c>
      <c r="E11" s="2">
        <f>E9-E10</f>
        <v/>
      </c>
    </row>
    <row r="12">
      <c r="B12" t="inlineStr">
        <is>
          <t>Tax</t>
        </is>
      </c>
      <c r="C12" s="1" t="n">
        <v>60</v>
      </c>
      <c r="D12" s="2">
        <f>D11*Inputs!D7</f>
        <v/>
      </c>
      <c r="E12" s="2">
        <f>E11*Inputs!E7</f>
        <v/>
      </c>
    </row>
    <row r="13">
      <c r="B13" t="inlineStr">
        <is>
          <t>Net income</t>
        </is>
      </c>
      <c r="C13" s="2">
        <f>C11-C12</f>
        <v/>
      </c>
      <c r="D13" s="2">
        <f>D11-D12</f>
        <v/>
      </c>
      <c r="E13" s="2">
        <f>E11-E12</f>
        <v/>
      </c>
    </row>
    <row r="15">
      <c r="B15" t="inlineStr">
        <is>
          <t>Memo: FY26 revenue guidance low</t>
        </is>
      </c>
      <c r="D15" s="2">
        <f>Inputs!#REF!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Balance sheet ($M)</t>
        </is>
      </c>
    </row>
    <row r="3">
      <c r="C3" t="inlineStr">
        <is>
          <t>FY25A</t>
        </is>
      </c>
      <c r="D3" t="inlineStr">
        <is>
          <t>FY26E</t>
        </is>
      </c>
      <c r="E3" t="inlineStr">
        <is>
          <t>FY27E</t>
        </is>
      </c>
    </row>
    <row r="4">
      <c r="B4" t="inlineStr">
        <is>
          <t>Assets</t>
        </is>
      </c>
    </row>
    <row r="5">
      <c r="B5" t="inlineStr">
        <is>
          <t>Cash</t>
        </is>
      </c>
      <c r="C5" s="1" t="n">
        <v>300</v>
      </c>
      <c r="D5" s="2">
        <f>CF!D12</f>
        <v/>
      </c>
      <c r="E5" s="2">
        <f>CF!E12</f>
        <v/>
      </c>
    </row>
    <row r="6">
      <c r="B6" t="inlineStr">
        <is>
          <t>Accounts receivable</t>
        </is>
      </c>
      <c r="C6" s="1" t="n">
        <v>240</v>
      </c>
      <c r="D6" s="1" t="n">
        <v>260</v>
      </c>
      <c r="E6" s="1" t="n">
        <v>270</v>
      </c>
    </row>
    <row r="7">
      <c r="B7" t="inlineStr">
        <is>
          <t>PP&amp;E, net</t>
        </is>
      </c>
      <c r="C7" s="1" t="n">
        <v>900</v>
      </c>
      <c r="D7" s="2">
        <f>C7+Inputs!D10-IS!D10</f>
        <v/>
      </c>
      <c r="E7" s="2">
        <f>D7+Inputs!E10-IS!E10</f>
        <v/>
      </c>
    </row>
    <row r="8">
      <c r="B8" t="inlineStr">
        <is>
          <t>Other assets</t>
        </is>
      </c>
      <c r="C8" s="1" t="n">
        <v>1000</v>
      </c>
      <c r="D8" s="1" t="n">
        <v>1012.5</v>
      </c>
      <c r="E8" s="1" t="n">
        <v>1000</v>
      </c>
    </row>
    <row r="9">
      <c r="B9" t="inlineStr">
        <is>
          <t>Total assets</t>
        </is>
      </c>
      <c r="C9" s="2">
        <f>SUM(C5:C8)</f>
        <v/>
      </c>
      <c r="D9" s="2">
        <f>SUM(D5:D8)</f>
        <v/>
      </c>
      <c r="E9" s="2">
        <f>SUM(E5:E8)</f>
        <v/>
      </c>
    </row>
    <row r="11">
      <c r="B11" t="inlineStr">
        <is>
          <t>Debt</t>
        </is>
      </c>
      <c r="C11" s="1" t="n">
        <v>500</v>
      </c>
      <c r="D11" s="1" t="n">
        <v>500</v>
      </c>
      <c r="E11" s="1" t="n">
        <v>500</v>
      </c>
    </row>
    <row r="12">
      <c r="B12" t="inlineStr">
        <is>
          <t>Common stock</t>
        </is>
      </c>
      <c r="C12" s="1" t="n">
        <v>300</v>
      </c>
      <c r="D12" s="1" t="n">
        <v>300</v>
      </c>
      <c r="E12" s="1" t="n">
        <v>300</v>
      </c>
    </row>
    <row r="13">
      <c r="B13" t="inlineStr">
        <is>
          <t>Retained earnings</t>
        </is>
      </c>
      <c r="C13" s="1" t="n">
        <v>1640</v>
      </c>
      <c r="D13" s="2">
        <f>C13+IS!D13-Inputs!D9</f>
        <v/>
      </c>
      <c r="E13" s="2">
        <f>D13+IS!E13-Inputs!E9</f>
        <v/>
      </c>
    </row>
    <row r="14">
      <c r="B14" t="inlineStr">
        <is>
          <t>Total liabilities and equity</t>
        </is>
      </c>
      <c r="C14" s="2">
        <f>SUM(C11:C13)</f>
        <v/>
      </c>
      <c r="D14" s="2">
        <f>SUM(D11:D13)</f>
        <v/>
      </c>
      <c r="E14" s="2">
        <f>SUM(E11:E13)</f>
        <v/>
      </c>
    </row>
    <row r="15">
      <c r="B15" t="inlineStr">
        <is>
          <t>Check: assets less L&amp;E (should be 0)</t>
        </is>
      </c>
      <c r="C15" s="2">
        <f>C9-C14</f>
        <v/>
      </c>
      <c r="D15" s="2">
        <f>D9-D14</f>
        <v/>
      </c>
      <c r="E15" s="2">
        <f>E9-E14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Cash flow ($M)</t>
        </is>
      </c>
    </row>
    <row r="3">
      <c r="D3" t="inlineStr">
        <is>
          <t>FY26E</t>
        </is>
      </c>
      <c r="E3" t="inlineStr">
        <is>
          <t>FY27E</t>
        </is>
      </c>
    </row>
    <row r="5">
      <c r="B5" t="inlineStr">
        <is>
          <t>Net income</t>
        </is>
      </c>
      <c r="D5" s="2">
        <f>IS!D13</f>
        <v/>
      </c>
      <c r="E5" s="2">
        <f>IS!E13</f>
        <v/>
      </c>
    </row>
    <row r="6">
      <c r="B6" t="inlineStr">
        <is>
          <t>D&amp;A</t>
        </is>
      </c>
      <c r="D6" s="2">
        <f>IS!D10</f>
        <v/>
      </c>
      <c r="E6" s="2">
        <f>IS!E10</f>
        <v/>
      </c>
    </row>
    <row r="7">
      <c r="B7" t="inlineStr">
        <is>
          <t>Change in receivables</t>
        </is>
      </c>
      <c r="D7" s="2">
        <f>-(BS!D6-BS!C6)</f>
        <v/>
      </c>
      <c r="E7" s="2">
        <f>(BS!E6-BS!D6)</f>
        <v/>
      </c>
    </row>
    <row r="8">
      <c r="B8" t="inlineStr">
        <is>
          <t>Cash from operations</t>
        </is>
      </c>
      <c r="D8" s="2">
        <f>SUM(D5:D7)</f>
        <v/>
      </c>
      <c r="E8" s="2">
        <f>SUM(E5:E7)</f>
        <v/>
      </c>
    </row>
    <row r="9">
      <c r="B9" t="inlineStr">
        <is>
          <t>Capex</t>
        </is>
      </c>
      <c r="D9" s="2">
        <f>-Inputs!D10</f>
        <v/>
      </c>
      <c r="E9" s="2">
        <f>-Inputs!E10</f>
        <v/>
      </c>
    </row>
    <row r="10">
      <c r="B10" t="inlineStr">
        <is>
          <t>Dividends</t>
        </is>
      </c>
      <c r="D10" s="2">
        <f>-Inputs!D9</f>
        <v/>
      </c>
      <c r="E10" s="2">
        <f>-Inputs!E9</f>
        <v/>
      </c>
    </row>
    <row r="11">
      <c r="B11" t="inlineStr">
        <is>
          <t>Net change in cash</t>
        </is>
      </c>
      <c r="D11" s="2">
        <f>D8+D9+D10</f>
        <v/>
      </c>
      <c r="E11" s="2">
        <f>E8+E9+E10</f>
        <v/>
      </c>
    </row>
    <row r="12">
      <c r="B12" t="inlineStr">
        <is>
          <t>Ending cash</t>
        </is>
      </c>
      <c r="D12" s="2">
        <f>BS!C5+D11</f>
        <v/>
      </c>
      <c r="E12" s="2">
        <f>BS!D5+E11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2026-10-27T23:15:19Z</dcterms:created>
  <dcterms:modified xsi:type="dcterms:W3CDTF">2026-10-27T23:15:19Z</dcterms:modified>
</cp:coreProperties>
</file>